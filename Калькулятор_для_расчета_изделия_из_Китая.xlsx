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екты\Ольга Межек\"/>
    </mc:Choice>
  </mc:AlternateContent>
  <xr:revisionPtr revIDLastSave="0" documentId="13_ncr:1_{B33B178B-EBAF-4752-9705-B7E70AE2E554}" xr6:coauthVersionLast="47" xr6:coauthVersionMax="47" xr10:uidLastSave="{00000000-0000-0000-0000-000000000000}"/>
  <bookViews>
    <workbookView xWindow="-108" yWindow="-108" windowWidth="23256" windowHeight="13896" xr2:uid="{075905B2-DF67-44B6-AE82-AC4CD80F2C4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<sst xmlns="http://schemas.openxmlformats.org/spreadsheetml/2006/main" count="67" uniqueCount="67">
  <si>
    <t>Калькулятор себестоимости и прибыли (Китай — Россия 2025)</t>
  </si>
  <si>
    <t>Категория</t>
  </si>
  <si>
    <t>Столбец (Excel)</t>
  </si>
  <si>
    <t>Описание / Формула</t>
  </si>
  <si>
    <t>Пример данных (2025)</t>
  </si>
  <si>
    <t>Закупка</t>
  </si>
  <si>
    <t>Артикул / Товар</t>
  </si>
  <si>
    <t>Наименование изделия</t>
  </si>
  <si>
    <t>Товар А</t>
  </si>
  <si>
    <t>Цена за единицу (CNY)</t>
  </si>
  <si>
    <t>Цена от поставщика (1688/Alibaba)</t>
  </si>
  <si>
    <t>100 ¥</t>
  </si>
  <si>
    <t>Курс CNY/RUB</t>
  </si>
  <si>
    <t>Актуальный курс (с учетом комиссии банка)</t>
  </si>
  <si>
    <t>Закуп в рублях</t>
  </si>
  <si>
    <t>1 350 ₽</t>
  </si>
  <si>
    <t>Логистика</t>
  </si>
  <si>
    <t>Доставка по Китаю</t>
  </si>
  <si>
    <t>До склада консолидации в Гуанчжоу/Иу</t>
  </si>
  <si>
    <t>Плотность (кг/м³)</t>
  </si>
  <si>
    <t>250 кг/м³</t>
  </si>
  <si>
    <t>Ставка Карго ($/кг)</t>
  </si>
  <si>
    <t>Авто: $1,5–2,5; ЖД: $1,2–2,0; Авиа: $5–10</t>
  </si>
  <si>
    <t>$2,00</t>
  </si>
  <si>
    <t>Вес единицы (кг)</t>
  </si>
  <si>
    <t>Фактический вес с упаковкой</t>
  </si>
  <si>
    <t>0,5 кг</t>
  </si>
  <si>
    <t>Стоимость Карго</t>
  </si>
  <si>
    <t>100 ₽</t>
  </si>
  <si>
    <t>Страховка (%)</t>
  </si>
  <si>
    <t>От 0,3% до 4% (базовая или расширенная)</t>
  </si>
  <si>
    <t>Доработка</t>
  </si>
  <si>
    <t>Переделки / Брак</t>
  </si>
  <si>
    <t>Расходы на исправление или замену</t>
  </si>
  <si>
    <t>Упаковка / Стикеровка</t>
  </si>
  <si>
    <t>Доп. упаковка для маркетплейсов или обрешетка</t>
  </si>
  <si>
    <t>Итоги затрат</t>
  </si>
  <si>
    <t>Себестоимость итого</t>
  </si>
  <si>
    <t>Сумма всех затрат выше</t>
  </si>
  <si>
    <t>Продажи</t>
  </si>
  <si>
    <t>Наценка (%)</t>
  </si>
  <si>
    <t>Ваша желаемая маржа</t>
  </si>
  <si>
    <t>Розничная цена</t>
  </si>
  <si>
    <t>3 200 ₽</t>
  </si>
  <si>
    <t>Налоги (например, 6%)</t>
  </si>
  <si>
    <t>192 ₽</t>
  </si>
  <si>
    <t>Финал</t>
  </si>
  <si>
    <t>Прибыль с ед.</t>
  </si>
  <si>
    <t>1 408 ₽</t>
  </si>
  <si>
    <t>Маржинальность</t>
  </si>
  <si>
    <t>44%</t>
  </si>
  <si>
    <t>Цена_CNY * Курс</t>
  </si>
  <si>
    <t>Вес / Объем (влияет на ставку карго)</t>
  </si>
  <si>
    <t>Вес * Ставка_Карго * Курс_USD</t>
  </si>
  <si>
    <t>Себестоимость * (1 + Наценка)</t>
  </si>
  <si>
    <t>Розничная_цена * 0,06</t>
  </si>
  <si>
    <t>Розничная_цена - Себестоимость - Налоги</t>
  </si>
  <si>
    <t>(Прибыль / Розничная_цена) * 100</t>
  </si>
  <si>
    <t>А пока вот черновик структуры для вашего Excel, который мы перенесем в «Таблицу данных»:</t>
  </si>
  <si>
    <r>
      <t>Товар:</t>
    </r>
    <r>
      <rPr>
        <sz val="8"/>
        <color rgb="FF303030"/>
        <rFont val="Google Sans Text"/>
      </rPr>
      <t xml:space="preserve"> Наименование, Цена (CNY), Курс, Цена (RUB).</t>
    </r>
  </si>
  <si>
    <r>
      <t>Логистика:</t>
    </r>
    <r>
      <rPr>
        <sz val="8"/>
        <color rgb="FF303030"/>
        <rFont val="Google Sans Text"/>
      </rPr>
      <t xml:space="preserve"> Доставка по Китаю, Карго ($ за кг/куб), Вес/Объем, Итого логистика, Страховка (%).</t>
    </r>
  </si>
  <si>
    <r>
      <t>Обработка:</t>
    </r>
    <r>
      <rPr>
        <sz val="8"/>
        <color rgb="FF303030"/>
        <rFont val="Google Sans Text"/>
      </rPr>
      <t xml:space="preserve"> Переделки/Брак, Упаковка, Маркировка.</t>
    </r>
  </si>
  <si>
    <r>
      <t>Экономика:</t>
    </r>
    <r>
      <rPr>
        <sz val="8"/>
        <color rgb="FF303030"/>
        <rFont val="Google Sans Text"/>
      </rPr>
      <t xml:space="preserve"> Себестоимость итого, Наценка (%), Налоги, Розничная цена.</t>
    </r>
  </si>
  <si>
    <r>
      <t>Профит:</t>
    </r>
    <r>
      <rPr>
        <sz val="8"/>
        <color rgb="FF303030"/>
        <rFont val="Google Sans Text"/>
      </rPr>
      <t xml:space="preserve"> Прибыль (RUB), Маржа (%).</t>
    </r>
  </si>
  <si>
    <r>
      <t>Итоговая себестоимость = (Закуп в рублях) + (Логистика по Китаю) + (Стоимость Карго) + (Страховка) + (Затраты на доработку и упаковку)</t>
    </r>
    <r>
      <rPr>
        <sz val="10"/>
        <color rgb="FF303030"/>
        <rFont val="Google Sans Text"/>
      </rPr>
      <t>.</t>
    </r>
  </si>
  <si>
    <t xml:space="preserve">Страховка </t>
  </si>
  <si>
    <t>Стоимость закупа *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</si>
</sst>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₽&quot;;[Red]\-#,##0\ &quot;₽&quot;"/>
    <numFmt numFmtId="8" formatCode="#,##0.00\ &quot;₽&quot;;[Red]\-#,##0.00\ &quot;₽&quot;"/>
    <numFmt numFmtId="168" formatCode="0.0%"/>
  </numFmts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303030"/>
      <name val="Google Sans Code"/>
      <charset val="204"/>
    </font>
    <font>
      <sz val="8"/>
      <color rgb="FF303030"/>
      <name val="Google Sans Text"/>
    </font>
    <font>
      <b/>
      <sz val="8"/>
      <color rgb="FF303030"/>
      <name val="Google Sans Text"/>
    </font>
    <font>
      <b/>
      <sz val="10"/>
      <color rgb="FF303030"/>
      <name val="Google Sans Text"/>
    </font>
    <font>
      <sz val="10"/>
      <color rgb="FF303030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919191"/>
      </bottom>
      <diagonal/>
    </border>
    <border>
      <left/>
      <right/>
      <top/>
      <bottom style="medium">
        <color rgb="FFDDE1E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6" fontId="0" fillId="0" borderId="0" xfId="0" applyNumberFormat="1"/>
    <xf numFmtId="0" fontId="1" fillId="0" borderId="0" xfId="0" applyFont="1"/>
    <xf numFmtId="0" fontId="2" fillId="0" borderId="2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6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8" fontId="0" fillId="0" borderId="2" xfId="0" applyNumberFormat="1" applyFill="1" applyBorder="1" applyAlignment="1">
      <alignment horizontal="center" vertical="center" wrapText="1"/>
    </xf>
    <xf numFmtId="6" fontId="0" fillId="2" borderId="2" xfId="0" applyNumberFormat="1" applyFill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/>
    <xf numFmtId="168" fontId="0" fillId="0" borderId="2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7EE3-F57A-4886-B53F-79E33845B624}">
  <dimension ref="A2:F34"/>
  <sheetViews>
    <sheetView tabSelected="1" workbookViewId="0">
      <selection activeCell="F24" sqref="F24"/>
    </sheetView>
  </sheetViews>
  <sheetFormatPr defaultRowHeight="14.4"/>
  <cols>
    <col min="1" max="1" width="18.5546875" customWidth="1"/>
    <col min="2" max="2" width="30.109375" customWidth="1"/>
    <col min="3" max="3" width="25.6640625" customWidth="1"/>
    <col min="4" max="4" width="27.44140625" style="9" customWidth="1"/>
  </cols>
  <sheetData>
    <row r="2" spans="1:5">
      <c r="A2" s="7" t="s">
        <v>0</v>
      </c>
    </row>
    <row r="3" spans="1:5" ht="24.6" customHeight="1" thickBot="1">
      <c r="A3" s="1" t="s">
        <v>1</v>
      </c>
      <c r="B3" s="1" t="s">
        <v>2</v>
      </c>
      <c r="C3" s="1" t="s">
        <v>3</v>
      </c>
      <c r="D3" s="1" t="s">
        <v>4</v>
      </c>
    </row>
    <row r="4" spans="1:5" ht="15" thickBot="1">
      <c r="A4" s="3" t="s">
        <v>5</v>
      </c>
      <c r="B4" s="2" t="s">
        <v>6</v>
      </c>
      <c r="C4" s="2" t="s">
        <v>7</v>
      </c>
      <c r="D4" s="10" t="s">
        <v>8</v>
      </c>
    </row>
    <row r="5" spans="1:5" ht="29.4" thickBot="1">
      <c r="A5" s="4"/>
      <c r="B5" s="2" t="s">
        <v>9</v>
      </c>
      <c r="C5" s="2" t="s">
        <v>10</v>
      </c>
      <c r="D5" s="15" t="s">
        <v>11</v>
      </c>
    </row>
    <row r="6" spans="1:5" ht="29.4" thickBot="1">
      <c r="A6" s="4"/>
      <c r="B6" s="2" t="s">
        <v>12</v>
      </c>
      <c r="C6" s="2" t="s">
        <v>13</v>
      </c>
      <c r="D6" s="16">
        <v>13.5</v>
      </c>
    </row>
    <row r="7" spans="1:5" ht="18.600000000000001" customHeight="1" thickBot="1">
      <c r="A7" s="4"/>
      <c r="B7" s="3" t="s">
        <v>14</v>
      </c>
      <c r="C7" s="8" t="s">
        <v>51</v>
      </c>
      <c r="D7" s="14" t="s">
        <v>15</v>
      </c>
    </row>
    <row r="8" spans="1:5" ht="29.4" thickBot="1">
      <c r="A8" s="3" t="s">
        <v>16</v>
      </c>
      <c r="B8" s="2" t="s">
        <v>17</v>
      </c>
      <c r="C8" s="2" t="s">
        <v>18</v>
      </c>
      <c r="D8" s="17">
        <v>20</v>
      </c>
    </row>
    <row r="9" spans="1:5" ht="27" thickBot="1">
      <c r="A9" s="4"/>
      <c r="B9" s="2" t="s">
        <v>19</v>
      </c>
      <c r="C9" s="5" t="s">
        <v>52</v>
      </c>
      <c r="D9" s="10" t="s">
        <v>20</v>
      </c>
    </row>
    <row r="10" spans="1:5" ht="29.4" thickBot="1">
      <c r="A10" s="4"/>
      <c r="B10" s="2" t="s">
        <v>21</v>
      </c>
      <c r="C10" s="2" t="s">
        <v>22</v>
      </c>
      <c r="D10" s="10" t="s">
        <v>23</v>
      </c>
    </row>
    <row r="11" spans="1:5" ht="29.4" thickBot="1">
      <c r="A11" s="4"/>
      <c r="B11" s="2" t="s">
        <v>24</v>
      </c>
      <c r="C11" s="2" t="s">
        <v>25</v>
      </c>
      <c r="D11" s="10" t="s">
        <v>26</v>
      </c>
    </row>
    <row r="12" spans="1:5" ht="27" thickBot="1">
      <c r="A12" s="4"/>
      <c r="B12" s="3" t="s">
        <v>27</v>
      </c>
      <c r="C12" s="5" t="s">
        <v>53</v>
      </c>
      <c r="D12" s="14" t="s">
        <v>28</v>
      </c>
    </row>
    <row r="13" spans="1:5" ht="29.4" thickBot="1">
      <c r="A13" s="4"/>
      <c r="B13" s="2" t="s">
        <v>29</v>
      </c>
      <c r="C13" s="2" t="s">
        <v>30</v>
      </c>
      <c r="D13" s="22">
        <v>3.6999999999999998E-2</v>
      </c>
      <c r="E13" s="18"/>
    </row>
    <row r="14" spans="1:5" ht="15" thickBot="1">
      <c r="A14" s="4"/>
      <c r="B14" s="2" t="s">
        <v>65</v>
      </c>
      <c r="C14" s="2" t="s">
        <v>66</v>
      </c>
      <c r="D14" s="17">
        <v>50</v>
      </c>
      <c r="E14" s="18"/>
    </row>
    <row r="15" spans="1:5" ht="29.4" thickBot="1">
      <c r="A15" s="3" t="s">
        <v>31</v>
      </c>
      <c r="B15" s="2" t="s">
        <v>32</v>
      </c>
      <c r="C15" s="2" t="s">
        <v>33</v>
      </c>
      <c r="D15" s="17">
        <v>50</v>
      </c>
    </row>
    <row r="16" spans="1:5" ht="43.8" thickBot="1">
      <c r="A16" s="4"/>
      <c r="B16" s="2" t="s">
        <v>34</v>
      </c>
      <c r="C16" s="2" t="s">
        <v>35</v>
      </c>
      <c r="D16" s="17">
        <v>30</v>
      </c>
    </row>
    <row r="17" spans="1:6" ht="15" thickBot="1">
      <c r="A17" s="3" t="s">
        <v>36</v>
      </c>
      <c r="B17" s="3" t="s">
        <v>37</v>
      </c>
      <c r="C17" s="3" t="s">
        <v>38</v>
      </c>
      <c r="D17" s="12">
        <v>1600</v>
      </c>
      <c r="E17" s="6">
        <f>D7+D8+D12+D14+D15+D16</f>
        <v>1600</v>
      </c>
      <c r="F17" s="21" t="s">
        <v>64</v>
      </c>
    </row>
    <row r="18" spans="1:6" ht="27" customHeight="1" thickBot="1">
      <c r="A18" s="3" t="s">
        <v>39</v>
      </c>
      <c r="B18" s="2" t="s">
        <v>40</v>
      </c>
      <c r="C18" s="2" t="s">
        <v>41</v>
      </c>
      <c r="D18" s="11">
        <v>1</v>
      </c>
    </row>
    <row r="19" spans="1:6" ht="27" thickBot="1">
      <c r="A19" s="4"/>
      <c r="B19" s="2" t="s">
        <v>42</v>
      </c>
      <c r="C19" s="5" t="s">
        <v>54</v>
      </c>
      <c r="D19" s="10" t="s">
        <v>43</v>
      </c>
    </row>
    <row r="20" spans="1:6" ht="21.6" customHeight="1" thickBot="1">
      <c r="A20" s="4"/>
      <c r="B20" s="2" t="s">
        <v>44</v>
      </c>
      <c r="C20" s="5" t="s">
        <v>55</v>
      </c>
      <c r="D20" s="10" t="s">
        <v>45</v>
      </c>
    </row>
    <row r="21" spans="1:6" ht="27" thickBot="1">
      <c r="A21" s="3" t="s">
        <v>46</v>
      </c>
      <c r="B21" s="3" t="s">
        <v>47</v>
      </c>
      <c r="C21" s="5" t="s">
        <v>56</v>
      </c>
      <c r="D21" s="13" t="s">
        <v>48</v>
      </c>
    </row>
    <row r="22" spans="1:6" ht="27" thickBot="1">
      <c r="A22" s="4"/>
      <c r="B22" s="3" t="s">
        <v>49</v>
      </c>
      <c r="C22" s="5" t="s">
        <v>57</v>
      </c>
      <c r="D22" s="13" t="s">
        <v>50</v>
      </c>
    </row>
    <row r="28" spans="1:6">
      <c r="A28" t="s">
        <v>58</v>
      </c>
    </row>
    <row r="29" spans="1:6">
      <c r="A29" s="19"/>
    </row>
    <row r="30" spans="1:6">
      <c r="A30" s="20" t="s">
        <v>59</v>
      </c>
    </row>
    <row r="31" spans="1:6">
      <c r="A31" s="20" t="s">
        <v>60</v>
      </c>
    </row>
    <row r="32" spans="1:6">
      <c r="A32" s="20" t="s">
        <v>61</v>
      </c>
    </row>
    <row r="33" spans="1:1">
      <c r="A33" s="20" t="s">
        <v>62</v>
      </c>
    </row>
    <row r="34" spans="1:1">
      <c r="A34" s="20" t="s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Tkacheva</dc:creator>
  <cp:lastModifiedBy>Irina Tkacheva</cp:lastModifiedBy>
  <dcterms:created xsi:type="dcterms:W3CDTF">2026-04-18T10:59:37Z</dcterms:created>
  <dcterms:modified xsi:type="dcterms:W3CDTF">2026-04-18T11:16:41Z</dcterms:modified>
</cp:coreProperties>
</file>