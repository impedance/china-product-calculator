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Ольга Межек\"/>
    </mc:Choice>
  </mc:AlternateContent>
  <xr:revisionPtr revIDLastSave="0" documentId="13_ncr:1_{10558B65-5B8F-4FC2-822C-9FC3BD507BF2}" xr6:coauthVersionLast="47" xr6:coauthVersionMax="47" xr10:uidLastSave="{00000000-0000-0000-0000-000000000000}"/>
  <bookViews>
    <workbookView xWindow="-108" yWindow="-108" windowWidth="23256" windowHeight="13896" activeTab="1" xr2:uid="{075905B2-DF67-44B6-AE82-AC4CD80F2C4E}"/>
  </bookViews>
  <sheets>
    <sheet name="единица" sheetId="1" r:id="rId1"/>
    <sheet name="итого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2" l="1"/>
  <c r="G9" i="2"/>
  <c r="G7" i="2"/>
  <c r="E7" i="2"/>
  <c r="H8" i="2"/>
  <c r="H9" i="2"/>
  <c r="F7" i="2"/>
  <c r="H7" i="2" s="1"/>
  <c r="D26" i="1"/>
  <c r="B10" i="2"/>
  <c r="D8" i="2"/>
  <c r="D9" i="2"/>
  <c r="D7" i="2"/>
  <c r="D10" i="2" s="1"/>
  <c r="D28" i="1"/>
  <c r="E17" i="1"/>
  <c r="H10" i="2" l="1"/>
  <c r="I9" i="2"/>
  <c r="I8" i="2"/>
  <c r="G10" i="2"/>
  <c r="I7" i="2"/>
  <c r="I10" i="2" l="1"/>
</calcChain>
</file>

<file path=xl/sharedStrings.xml><?xml version="1.0" encoding="utf-8"?>
<sst xmlns="http://schemas.openxmlformats.org/spreadsheetml/2006/main" count="94" uniqueCount="88">
  <si>
    <t>Категория</t>
  </si>
  <si>
    <t>Столбец (Excel)</t>
  </si>
  <si>
    <t>Описание / Формула</t>
  </si>
  <si>
    <t>Пример данных (2025)</t>
  </si>
  <si>
    <t>Закупка</t>
  </si>
  <si>
    <t>Артикул / Товар</t>
  </si>
  <si>
    <t>Наименование изделия</t>
  </si>
  <si>
    <t>Товар А</t>
  </si>
  <si>
    <t>Цена за единицу (CNY)</t>
  </si>
  <si>
    <t>Цена от поставщика (1688/Alibaba)</t>
  </si>
  <si>
    <t>100 ¥</t>
  </si>
  <si>
    <t>Курс CNY/RUB</t>
  </si>
  <si>
    <t>Актуальный курс (с учетом комиссии банка)</t>
  </si>
  <si>
    <t>Закуп в рублях</t>
  </si>
  <si>
    <t>1 350 ₽</t>
  </si>
  <si>
    <t>Логистика</t>
  </si>
  <si>
    <t>Доставка по Китаю</t>
  </si>
  <si>
    <t>До склада консолидации в Гуанчжоу/Иу</t>
  </si>
  <si>
    <t>Плотность (кг/м³)</t>
  </si>
  <si>
    <t>250 кг/м³</t>
  </si>
  <si>
    <t>Ставка Карго ($/кг)</t>
  </si>
  <si>
    <t>Авто: $1,5–2,5; ЖД: $1,2–2,0; Авиа: $5–10</t>
  </si>
  <si>
    <t>$2,00</t>
  </si>
  <si>
    <t>Вес единицы (кг)</t>
  </si>
  <si>
    <t>Фактический вес с упаковкой</t>
  </si>
  <si>
    <t>0,5 кг</t>
  </si>
  <si>
    <t>Стоимость Карго</t>
  </si>
  <si>
    <t>100 ₽</t>
  </si>
  <si>
    <t>Страховка (%)</t>
  </si>
  <si>
    <t>От 0,3% до 4% (базовая или расширенная)</t>
  </si>
  <si>
    <t>Доработка</t>
  </si>
  <si>
    <t>Переделки / Брак</t>
  </si>
  <si>
    <t>Расходы на исправление или замену</t>
  </si>
  <si>
    <t>Упаковка / Стикеровка</t>
  </si>
  <si>
    <t>Доп. упаковка для маркетплейсов или обрешетка</t>
  </si>
  <si>
    <t>Итоги затрат</t>
  </si>
  <si>
    <t>Себестоимость итого</t>
  </si>
  <si>
    <t>Сумма всех затрат выше</t>
  </si>
  <si>
    <t>Продажи</t>
  </si>
  <si>
    <t>Наценка (%)</t>
  </si>
  <si>
    <t>Ваша желаемая маржа</t>
  </si>
  <si>
    <t>Розничная цена</t>
  </si>
  <si>
    <t>3 200 ₽</t>
  </si>
  <si>
    <t>Налоги (например, 6%)</t>
  </si>
  <si>
    <t>192 ₽</t>
  </si>
  <si>
    <t>Финал</t>
  </si>
  <si>
    <t>Прибыль с ед.</t>
  </si>
  <si>
    <t>1 408 ₽</t>
  </si>
  <si>
    <t>Маржинальность</t>
  </si>
  <si>
    <t>44%</t>
  </si>
  <si>
    <t>Цена_CNY * Курс</t>
  </si>
  <si>
    <t>Вес / Объем (влияет на ставку карго)</t>
  </si>
  <si>
    <t>Вес * Ставка_Карго * Курс_USD</t>
  </si>
  <si>
    <t>Себестоимость * (1 + Наценка)</t>
  </si>
  <si>
    <t>Розничная_цена * 0,06</t>
  </si>
  <si>
    <t>Розничная_цена - Себестоимость - Налоги</t>
  </si>
  <si>
    <t>(Прибыль / Розничная_цена) * 100</t>
  </si>
  <si>
    <r>
      <t>Итоговая себестоимость = (Закуп в рублях) + (Логистика по Китаю) + (Стоимость Карго) + (Страховка) + (Затраты на доработку и упаковку)</t>
    </r>
    <r>
      <rPr>
        <sz val="10"/>
        <color rgb="FF303030"/>
        <rFont val="Google Sans Text"/>
      </rPr>
      <t>.</t>
    </r>
  </si>
  <si>
    <t xml:space="preserve">Страховка </t>
  </si>
  <si>
    <t>Стоимость закупа * %</t>
  </si>
  <si>
    <t xml:space="preserve">Калькулятор себестоимости и прибыли </t>
  </si>
  <si>
    <t xml:space="preserve">Калькулятор - свод </t>
  </si>
  <si>
    <t>Сводная таблица прибыли по категориям (Китай — Россия 2025-2026)</t>
  </si>
  <si>
    <t>В этой таблице данные подтягиваются из индивидуальных расчетов для каждой категории, учитывая специфику их логистики и страхования.</t>
  </si>
  <si>
    <t>Категория товара</t>
  </si>
  <si>
    <t>Кол-во (шт)</t>
  </si>
  <si>
    <t>Себестоимость ед. (RUB)</t>
  </si>
  <si>
    <t>Общие затраты (RUB)</t>
  </si>
  <si>
    <t>ИТОГО</t>
  </si>
  <si>
    <t>—</t>
  </si>
  <si>
    <t>Изделие 1</t>
  </si>
  <si>
    <t>Изделие 2</t>
  </si>
  <si>
    <t>Изделие 3</t>
  </si>
  <si>
    <t>Количество единиц</t>
  </si>
  <si>
    <t>Кол-во *Розничная цена</t>
  </si>
  <si>
    <t>Прибыль всего</t>
  </si>
  <si>
    <t>Кол-во * Прибыль с ед.</t>
  </si>
  <si>
    <r>
      <t>Формула:</t>
    </r>
    <r>
      <rPr>
        <sz val="10"/>
        <color rgb="FF303030"/>
        <rFont val="Google Sans Text"/>
      </rPr>
      <t xml:space="preserve"> </t>
    </r>
    <r>
      <rPr>
        <sz val="10"/>
        <color rgb="FF303030"/>
        <rFont val="Google Sans Code"/>
        <charset val="204"/>
      </rPr>
      <t>= Количество * Себестоимость ед.</t>
    </r>
  </si>
  <si>
    <t>Выручка в рознице всего (RUB)</t>
  </si>
  <si>
    <t>Прибыль всего (RUB)</t>
  </si>
  <si>
    <t>Маржинальность всего (%)</t>
  </si>
  <si>
    <t>из вкладки Единица</t>
  </si>
  <si>
    <t>Выручка в рознице всего</t>
  </si>
  <si>
    <t>Прибыль с ед.(RUB)</t>
  </si>
  <si>
    <r>
      <t>Формула:</t>
    </r>
    <r>
      <rPr>
        <sz val="10"/>
        <color rgb="FF303030"/>
        <rFont val="Google Sans Text"/>
      </rPr>
      <t xml:space="preserve"> </t>
    </r>
    <r>
      <rPr>
        <sz val="10"/>
        <color rgb="FF303030"/>
        <rFont val="Google Sans Code"/>
        <charset val="204"/>
      </rPr>
      <t>= Количество * Прибыль с ед.</t>
    </r>
  </si>
  <si>
    <t>Розничная цена ед (RUB)</t>
  </si>
  <si>
    <r>
      <t>Формула:</t>
    </r>
    <r>
      <rPr>
        <sz val="10"/>
        <color rgb="FF303030"/>
        <rFont val="Google Sans Text"/>
      </rPr>
      <t xml:space="preserve"> </t>
    </r>
    <r>
      <rPr>
        <sz val="10"/>
        <color rgb="FF303030"/>
        <rFont val="Google Sans Code"/>
        <charset val="204"/>
      </rPr>
      <t>= Количество * Розничная цена ед.</t>
    </r>
  </si>
  <si>
    <r>
      <t>Формула:</t>
    </r>
    <r>
      <rPr>
        <sz val="10"/>
        <color rgb="FF303030"/>
        <rFont val="Google Sans Text"/>
      </rPr>
      <t xml:space="preserve"> </t>
    </r>
    <r>
      <rPr>
        <sz val="10"/>
        <color rgb="FF303030"/>
        <rFont val="Google Sans Code"/>
        <charset val="204"/>
      </rPr>
      <t>= Прибыль всего/ Выручка в рознице всего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</si>
</sst>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8" formatCode="#,##0.00\ &quot;₽&quot;;[Red]\-#,##0.00\ &quot;₽&quot;"/>
    <numFmt numFmtId="164" formatCode="0.0%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303030"/>
      <name val="Google Sans Code"/>
      <charset val="204"/>
    </font>
    <font>
      <b/>
      <sz val="10"/>
      <color rgb="FF303030"/>
      <name val="Google Sans Text"/>
    </font>
    <font>
      <sz val="10"/>
      <color rgb="FF303030"/>
      <name val="Google Sans Text"/>
    </font>
    <font>
      <sz val="8"/>
      <name val="Calibri"/>
      <family val="2"/>
      <charset val="204"/>
      <scheme val="minor"/>
    </font>
    <font>
      <sz val="10"/>
      <color rgb="FF303030"/>
      <name val="Google Sans Code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6" fontId="0" fillId="0" borderId="0" xfId="0" applyNumberFormat="1"/>
    <xf numFmtId="0" fontId="1" fillId="0" borderId="0" xfId="0" applyFont="1"/>
    <xf numFmtId="0" fontId="2" fillId="0" borderId="2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8" fontId="0" fillId="0" borderId="2" xfId="0" applyNumberFormat="1" applyFill="1" applyBorder="1" applyAlignment="1">
      <alignment horizontal="center" vertical="center" wrapText="1"/>
    </xf>
    <xf numFmtId="6" fontId="0" fillId="2" borderId="2" xfId="0" applyNumberForma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164" fontId="0" fillId="0" borderId="2" xfId="0" applyNumberFormat="1" applyBorder="1" applyAlignment="1">
      <alignment horizontal="center" vertical="center" wrapText="1"/>
    </xf>
    <xf numFmtId="6" fontId="0" fillId="0" borderId="2" xfId="0" applyNumberForma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6" fontId="1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Fill="1" applyBorder="1" applyAlignment="1">
      <alignment vertical="center" wrapText="1"/>
    </xf>
    <xf numFmtId="6" fontId="0" fillId="0" borderId="2" xfId="0" applyNumberFormat="1" applyBorder="1" applyAlignment="1">
      <alignment horizontal="right" vertical="center" wrapText="1"/>
    </xf>
    <xf numFmtId="164" fontId="0" fillId="0" borderId="2" xfId="0" applyNumberForma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3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 applyAlignment="1">
      <alignment horizontal="center"/>
    </xf>
    <xf numFmtId="0" fontId="1" fillId="0" borderId="6" xfId="0" applyFont="1" applyBorder="1"/>
    <xf numFmtId="3" fontId="0" fillId="0" borderId="7" xfId="0" applyNumberFormat="1" applyBorder="1" applyAlignment="1">
      <alignment horizontal="center"/>
    </xf>
    <xf numFmtId="0" fontId="1" fillId="0" borderId="8" xfId="0" applyFont="1" applyBorder="1"/>
    <xf numFmtId="0" fontId="0" fillId="0" borderId="9" xfId="0" applyBorder="1"/>
    <xf numFmtId="3" fontId="0" fillId="0" borderId="10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7EE3-F57A-4886-B53F-79E33845B624}">
  <dimension ref="A2:F28"/>
  <sheetViews>
    <sheetView topLeftCell="A13" workbookViewId="0">
      <selection activeCell="G23" sqref="G23"/>
    </sheetView>
  </sheetViews>
  <sheetFormatPr defaultRowHeight="14.4"/>
  <cols>
    <col min="1" max="1" width="18.5546875" customWidth="1"/>
    <col min="2" max="2" width="30.109375" customWidth="1"/>
    <col min="3" max="3" width="25.6640625" customWidth="1"/>
    <col min="4" max="4" width="27.44140625" style="9" customWidth="1"/>
    <col min="5" max="5" width="9.5546875" bestFit="1" customWidth="1"/>
  </cols>
  <sheetData>
    <row r="2" spans="1:5">
      <c r="A2" s="7" t="s">
        <v>60</v>
      </c>
    </row>
    <row r="3" spans="1:5" ht="24.6" customHeight="1" thickBot="1">
      <c r="A3" s="1" t="s">
        <v>0</v>
      </c>
      <c r="B3" s="1" t="s">
        <v>1</v>
      </c>
      <c r="C3" s="1" t="s">
        <v>2</v>
      </c>
      <c r="D3" s="1" t="s">
        <v>3</v>
      </c>
    </row>
    <row r="4" spans="1:5" ht="15" thickBot="1">
      <c r="A4" s="3" t="s">
        <v>4</v>
      </c>
      <c r="B4" s="2" t="s">
        <v>5</v>
      </c>
      <c r="C4" s="2" t="s">
        <v>6</v>
      </c>
      <c r="D4" s="10" t="s">
        <v>7</v>
      </c>
    </row>
    <row r="5" spans="1:5" ht="29.4" thickBot="1">
      <c r="A5" s="4"/>
      <c r="B5" s="2" t="s">
        <v>8</v>
      </c>
      <c r="C5" s="2" t="s">
        <v>9</v>
      </c>
      <c r="D5" s="15" t="s">
        <v>10</v>
      </c>
    </row>
    <row r="6" spans="1:5" ht="29.4" thickBot="1">
      <c r="A6" s="4"/>
      <c r="B6" s="2" t="s">
        <v>11</v>
      </c>
      <c r="C6" s="2" t="s">
        <v>12</v>
      </c>
      <c r="D6" s="16">
        <v>13.5</v>
      </c>
    </row>
    <row r="7" spans="1:5" ht="18.600000000000001" customHeight="1" thickBot="1">
      <c r="A7" s="4"/>
      <c r="B7" s="3" t="s">
        <v>13</v>
      </c>
      <c r="C7" s="8" t="s">
        <v>50</v>
      </c>
      <c r="D7" s="14" t="s">
        <v>14</v>
      </c>
    </row>
    <row r="8" spans="1:5" ht="29.4" thickBot="1">
      <c r="A8" s="3" t="s">
        <v>15</v>
      </c>
      <c r="B8" s="2" t="s">
        <v>16</v>
      </c>
      <c r="C8" s="2" t="s">
        <v>17</v>
      </c>
      <c r="D8" s="17">
        <v>20</v>
      </c>
    </row>
    <row r="9" spans="1:5" ht="27" thickBot="1">
      <c r="A9" s="4"/>
      <c r="B9" s="2" t="s">
        <v>18</v>
      </c>
      <c r="C9" s="5" t="s">
        <v>51</v>
      </c>
      <c r="D9" s="10" t="s">
        <v>19</v>
      </c>
    </row>
    <row r="10" spans="1:5" ht="29.4" thickBot="1">
      <c r="A10" s="4"/>
      <c r="B10" s="2" t="s">
        <v>20</v>
      </c>
      <c r="C10" s="2" t="s">
        <v>21</v>
      </c>
      <c r="D10" s="10" t="s">
        <v>22</v>
      </c>
    </row>
    <row r="11" spans="1:5" ht="29.4" thickBot="1">
      <c r="A11" s="4"/>
      <c r="B11" s="2" t="s">
        <v>23</v>
      </c>
      <c r="C11" s="2" t="s">
        <v>24</v>
      </c>
      <c r="D11" s="10" t="s">
        <v>25</v>
      </c>
    </row>
    <row r="12" spans="1:5" ht="27" thickBot="1">
      <c r="A12" s="4"/>
      <c r="B12" s="3" t="s">
        <v>26</v>
      </c>
      <c r="C12" s="5" t="s">
        <v>52</v>
      </c>
      <c r="D12" s="14" t="s">
        <v>27</v>
      </c>
    </row>
    <row r="13" spans="1:5" ht="29.4" thickBot="1">
      <c r="A13" s="4"/>
      <c r="B13" s="2" t="s">
        <v>28</v>
      </c>
      <c r="C13" s="2" t="s">
        <v>29</v>
      </c>
      <c r="D13" s="20">
        <v>3.6999999999999998E-2</v>
      </c>
      <c r="E13" s="18"/>
    </row>
    <row r="14" spans="1:5" ht="15" thickBot="1">
      <c r="A14" s="4"/>
      <c r="B14" s="2" t="s">
        <v>58</v>
      </c>
      <c r="C14" s="2" t="s">
        <v>59</v>
      </c>
      <c r="D14" s="17">
        <v>50</v>
      </c>
      <c r="E14" s="18"/>
    </row>
    <row r="15" spans="1:5" ht="29.4" thickBot="1">
      <c r="A15" s="3" t="s">
        <v>30</v>
      </c>
      <c r="B15" s="2" t="s">
        <v>31</v>
      </c>
      <c r="C15" s="2" t="s">
        <v>32</v>
      </c>
      <c r="D15" s="17">
        <v>50</v>
      </c>
    </row>
    <row r="16" spans="1:5" ht="43.8" thickBot="1">
      <c r="A16" s="4"/>
      <c r="B16" s="2" t="s">
        <v>33</v>
      </c>
      <c r="C16" s="2" t="s">
        <v>34</v>
      </c>
      <c r="D16" s="17">
        <v>30</v>
      </c>
    </row>
    <row r="17" spans="1:6" ht="15" thickBot="1">
      <c r="A17" s="3" t="s">
        <v>35</v>
      </c>
      <c r="B17" s="3" t="s">
        <v>36</v>
      </c>
      <c r="C17" s="3" t="s">
        <v>37</v>
      </c>
      <c r="D17" s="12">
        <v>1600</v>
      </c>
      <c r="E17" s="6">
        <f>D7+D8+D12+D14+D15+D16</f>
        <v>1600</v>
      </c>
      <c r="F17" s="19" t="s">
        <v>57</v>
      </c>
    </row>
    <row r="18" spans="1:6" ht="27" customHeight="1" thickBot="1">
      <c r="A18" s="3" t="s">
        <v>38</v>
      </c>
      <c r="B18" s="2" t="s">
        <v>39</v>
      </c>
      <c r="C18" s="2" t="s">
        <v>40</v>
      </c>
      <c r="D18" s="11">
        <v>1</v>
      </c>
    </row>
    <row r="19" spans="1:6" ht="27" thickBot="1">
      <c r="A19" s="4"/>
      <c r="B19" s="2" t="s">
        <v>41</v>
      </c>
      <c r="C19" s="5" t="s">
        <v>53</v>
      </c>
      <c r="D19" s="10" t="s">
        <v>42</v>
      </c>
    </row>
    <row r="20" spans="1:6" ht="21.6" customHeight="1" thickBot="1">
      <c r="A20" s="4"/>
      <c r="B20" s="2" t="s">
        <v>43</v>
      </c>
      <c r="C20" s="5" t="s">
        <v>54</v>
      </c>
      <c r="D20" s="10" t="s">
        <v>44</v>
      </c>
    </row>
    <row r="21" spans="1:6" ht="27" thickBot="1">
      <c r="A21" s="3" t="s">
        <v>45</v>
      </c>
      <c r="B21" s="3" t="s">
        <v>46</v>
      </c>
      <c r="C21" s="5" t="s">
        <v>55</v>
      </c>
      <c r="D21" s="13" t="s">
        <v>47</v>
      </c>
    </row>
    <row r="22" spans="1:6" ht="27" thickBot="1">
      <c r="A22" s="4"/>
      <c r="B22" s="3" t="s">
        <v>48</v>
      </c>
      <c r="C22" s="5" t="s">
        <v>56</v>
      </c>
      <c r="D22" s="13" t="s">
        <v>49</v>
      </c>
    </row>
    <row r="23" spans="1:6" ht="15" thickBot="1"/>
    <row r="24" spans="1:6">
      <c r="B24" s="29" t="s">
        <v>73</v>
      </c>
      <c r="C24" s="30"/>
      <c r="D24" s="31">
        <v>500</v>
      </c>
    </row>
    <row r="25" spans="1:6">
      <c r="B25" s="32"/>
      <c r="C25" s="33"/>
      <c r="D25" s="34"/>
    </row>
    <row r="26" spans="1:6">
      <c r="B26" s="35" t="s">
        <v>82</v>
      </c>
      <c r="C26" s="33" t="s">
        <v>74</v>
      </c>
      <c r="D26" s="36">
        <f>D24*D19</f>
        <v>1600000</v>
      </c>
      <c r="E26" s="6"/>
    </row>
    <row r="27" spans="1:6">
      <c r="B27" s="32"/>
      <c r="C27" s="33"/>
      <c r="D27" s="34"/>
    </row>
    <row r="28" spans="1:6" ht="15" thickBot="1">
      <c r="B28" s="37" t="s">
        <v>75</v>
      </c>
      <c r="C28" s="38" t="s">
        <v>76</v>
      </c>
      <c r="D28" s="39">
        <f>D21*D24</f>
        <v>704000</v>
      </c>
      <c r="E2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2347-42D7-4C07-A01B-8AE3BE88ED15}">
  <dimension ref="A2:I16"/>
  <sheetViews>
    <sheetView tabSelected="1" workbookViewId="0">
      <selection activeCell="B19" sqref="B19"/>
    </sheetView>
  </sheetViews>
  <sheetFormatPr defaultRowHeight="14.4"/>
  <cols>
    <col min="1" max="1" width="11.77734375" customWidth="1"/>
    <col min="2" max="2" width="12.5546875" customWidth="1"/>
    <col min="3" max="3" width="15.21875" customWidth="1"/>
    <col min="4" max="4" width="18.5546875" customWidth="1"/>
    <col min="5" max="5" width="14.21875" customWidth="1"/>
    <col min="6" max="6" width="16.33203125" customWidth="1"/>
    <col min="7" max="7" width="14.109375" customWidth="1"/>
    <col min="8" max="8" width="12.21875" customWidth="1"/>
    <col min="9" max="9" width="16.21875" customWidth="1"/>
  </cols>
  <sheetData>
    <row r="2" spans="1:9">
      <c r="A2" s="7" t="s">
        <v>61</v>
      </c>
      <c r="D2" s="9"/>
      <c r="E2" s="9"/>
      <c r="F2" s="9"/>
    </row>
    <row r="4" spans="1:9">
      <c r="A4" t="s">
        <v>62</v>
      </c>
    </row>
    <row r="5" spans="1:9">
      <c r="A5" t="s">
        <v>63</v>
      </c>
    </row>
    <row r="6" spans="1:9" ht="43.8" thickBot="1">
      <c r="A6" s="1" t="s">
        <v>64</v>
      </c>
      <c r="B6" s="1" t="s">
        <v>65</v>
      </c>
      <c r="C6" s="1" t="s">
        <v>66</v>
      </c>
      <c r="D6" s="1" t="s">
        <v>67</v>
      </c>
      <c r="E6" s="1" t="s">
        <v>85</v>
      </c>
      <c r="F6" s="1" t="s">
        <v>83</v>
      </c>
      <c r="G6" s="1" t="s">
        <v>78</v>
      </c>
      <c r="H6" s="1" t="s">
        <v>79</v>
      </c>
      <c r="I6" s="1" t="s">
        <v>80</v>
      </c>
    </row>
    <row r="7" spans="1:9" ht="24.6" customHeight="1" thickBot="1">
      <c r="A7" s="3" t="s">
        <v>70</v>
      </c>
      <c r="B7" s="2">
        <v>500</v>
      </c>
      <c r="C7" s="21">
        <v>1600</v>
      </c>
      <c r="D7" s="21">
        <f>B7*C7</f>
        <v>800000</v>
      </c>
      <c r="E7" s="26" t="str">
        <f>единица!D19</f>
        <v>3 200 ₽</v>
      </c>
      <c r="F7" s="26" t="str">
        <f>единица!D21</f>
        <v>1 408 ₽</v>
      </c>
      <c r="G7" s="21">
        <f>B7*E7</f>
        <v>1600000</v>
      </c>
      <c r="H7" s="21">
        <f>F7*B7</f>
        <v>704000</v>
      </c>
      <c r="I7" s="27">
        <f>H7/G7</f>
        <v>0.44</v>
      </c>
    </row>
    <row r="8" spans="1:9" ht="15" thickBot="1">
      <c r="A8" s="3" t="s">
        <v>71</v>
      </c>
      <c r="B8" s="2">
        <v>100</v>
      </c>
      <c r="C8" s="21">
        <v>4800</v>
      </c>
      <c r="D8" s="21">
        <f t="shared" ref="D8:D9" si="0">B8*C8</f>
        <v>480000</v>
      </c>
      <c r="E8" s="26">
        <v>9600</v>
      </c>
      <c r="F8" s="26">
        <v>4797</v>
      </c>
      <c r="G8" s="21">
        <f t="shared" ref="G8:G9" si="1">B8*E8</f>
        <v>960000</v>
      </c>
      <c r="H8" s="21">
        <f t="shared" ref="H8:H9" si="2">F8*B8</f>
        <v>479700</v>
      </c>
      <c r="I8" s="27">
        <f t="shared" ref="I8:I10" si="3">H8/G8</f>
        <v>0.49968750000000001</v>
      </c>
    </row>
    <row r="9" spans="1:9" ht="15" thickBot="1">
      <c r="A9" s="3" t="s">
        <v>72</v>
      </c>
      <c r="B9" s="2">
        <v>1000</v>
      </c>
      <c r="C9" s="21">
        <v>320</v>
      </c>
      <c r="D9" s="21">
        <f t="shared" si="0"/>
        <v>320000</v>
      </c>
      <c r="E9" s="26">
        <v>700</v>
      </c>
      <c r="F9" s="26">
        <v>380</v>
      </c>
      <c r="G9" s="21">
        <f t="shared" si="1"/>
        <v>700000</v>
      </c>
      <c r="H9" s="21">
        <f t="shared" si="2"/>
        <v>380000</v>
      </c>
      <c r="I9" s="27">
        <f t="shared" si="3"/>
        <v>0.54285714285714282</v>
      </c>
    </row>
    <row r="10" spans="1:9" ht="15" thickBot="1">
      <c r="A10" s="3" t="s">
        <v>68</v>
      </c>
      <c r="B10" s="22">
        <f>SUM(B7:B9)</f>
        <v>1600</v>
      </c>
      <c r="C10" s="10" t="s">
        <v>69</v>
      </c>
      <c r="D10" s="23">
        <f>SUM(D7:D9)</f>
        <v>1600000</v>
      </c>
      <c r="E10" s="10" t="s">
        <v>69</v>
      </c>
      <c r="F10" s="10" t="s">
        <v>69</v>
      </c>
      <c r="G10" s="23">
        <f>SUM(G7:G9)</f>
        <v>3260000</v>
      </c>
      <c r="H10" s="23">
        <f>SUM(H7:H9)</f>
        <v>1563700</v>
      </c>
      <c r="I10" s="28">
        <f t="shared" si="3"/>
        <v>0.47966257668711654</v>
      </c>
    </row>
    <row r="12" spans="1:9" ht="79.2">
      <c r="A12" s="25" t="s">
        <v>81</v>
      </c>
      <c r="B12" s="25" t="s">
        <v>81</v>
      </c>
      <c r="C12" s="25" t="s">
        <v>81</v>
      </c>
      <c r="D12" s="24" t="s">
        <v>77</v>
      </c>
      <c r="E12" s="25" t="s">
        <v>81</v>
      </c>
      <c r="F12" s="25" t="s">
        <v>81</v>
      </c>
      <c r="G12" s="24" t="s">
        <v>86</v>
      </c>
      <c r="H12" s="24" t="s">
        <v>84</v>
      </c>
      <c r="I12" s="24" t="s">
        <v>87</v>
      </c>
    </row>
    <row r="14" spans="1:9">
      <c r="E14" s="6"/>
      <c r="H14" s="6"/>
    </row>
    <row r="15" spans="1:9">
      <c r="H15" s="6"/>
    </row>
    <row r="16" spans="1:9">
      <c r="H16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единица</vt:lpstr>
      <vt:lpstr>итого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Tkacheva</dc:creator>
  <cp:lastModifiedBy>Irina Tkacheva</cp:lastModifiedBy>
  <dcterms:created xsi:type="dcterms:W3CDTF">2026-04-18T10:59:37Z</dcterms:created>
  <dcterms:modified xsi:type="dcterms:W3CDTF">2026-04-23T20:52:17Z</dcterms:modified>
</cp:coreProperties>
</file>